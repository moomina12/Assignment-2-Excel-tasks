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EDBAEAE2-CEB1-4B31-8DEC-178B5C7735FC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" i="1" l="1"/>
  <c r="S12" i="1"/>
  <c r="T12" i="1" s="1"/>
  <c r="L13" i="1"/>
  <c r="L14" i="1"/>
  <c r="N14" i="1"/>
  <c r="P15" i="1"/>
  <c r="L16" i="1"/>
  <c r="G17" i="1"/>
  <c r="I19" i="1"/>
  <c r="G21" i="1"/>
  <c r="P21" i="1"/>
  <c r="S11" i="1"/>
  <c r="T11" i="1" s="1"/>
  <c r="S10" i="1"/>
  <c r="T10" i="1" s="1"/>
  <c r="S9" i="1"/>
  <c r="T9" i="1" s="1"/>
  <c r="S8" i="1"/>
  <c r="T8" i="1" s="1"/>
  <c r="P50" i="1"/>
  <c r="P36" i="1"/>
  <c r="P29" i="1"/>
  <c r="P26" i="1"/>
  <c r="P23" i="1"/>
  <c r="L55" i="1"/>
  <c r="L53" i="1"/>
  <c r="L52" i="1"/>
  <c r="L51" i="1"/>
  <c r="L47" i="1"/>
  <c r="L46" i="1"/>
  <c r="L45" i="1"/>
  <c r="L44" i="1"/>
  <c r="L43" i="1"/>
  <c r="L42" i="1"/>
  <c r="L40" i="1"/>
  <c r="L36" i="1"/>
  <c r="L34" i="1"/>
  <c r="L25" i="1"/>
  <c r="L24" i="1"/>
  <c r="L12" i="1"/>
  <c r="L10" i="1"/>
  <c r="I54" i="1"/>
  <c r="I40" i="1"/>
  <c r="G52" i="1"/>
  <c r="G49" i="1"/>
  <c r="G42" i="1"/>
  <c r="G38" i="1"/>
  <c r="G35" i="1"/>
  <c r="G26" i="1"/>
  <c r="G12" i="1"/>
  <c r="I3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O8" authorId="0" shapeId="0" xr:uid="{11EBF16E-B1EB-4BBB-8150-8B72AB87FEE7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Used custom format as 91-00000000 to format the phone number</t>
        </r>
      </text>
    </comment>
    <comment ref="L10" authorId="0" shapeId="0" xr:uid="{EB7F8D0B-ABCC-4ADD-8DE5-78D4C9F08D4C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F12" authorId="0" shapeId="0" xr:uid="{F650F290-4C52-4231-891A-9B402F99B5C9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PROPER(LEFT(J12,FIND("@",J12)-1)) used to extract the name from email id</t>
        </r>
      </text>
    </comment>
    <comment ref="P12" authorId="0" shapeId="0" xr:uid="{9439F3FE-CE41-4235-8126-5F2F6DC49329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IF(ISBLANK([@Column1]),"No address available","")</t>
        </r>
      </text>
    </comment>
    <comment ref="M14" authorId="0" shapeId="0" xr:uid="{CFF2B296-AC3C-4D2E-890F-A04C80000EBB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IF(NOT(ISBLANK([@Name])),"support@dataisgood.com","not") used to provide support@dataisgood.com as there was not email id</t>
        </r>
      </text>
    </comment>
    <comment ref="P15" authorId="0" shapeId="0" xr:uid="{6304A5B0-B35E-4E68-844D-EB3B166B0F8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IF(ISBLANK([@Column1]),"No address available","") </t>
        </r>
      </text>
    </comment>
    <comment ref="F17" authorId="0" shapeId="0" xr:uid="{99E8661E-7388-4277-8940-1E259FCDA2FD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PROPER(LEFT(K17,FIND("@",K17)-1)) to extract the name from email id</t>
        </r>
      </text>
    </comment>
    <comment ref="F18" authorId="0" shapeId="0" xr:uid="{0DC215CC-0A73-4D1E-B695-85D1CC30908D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PROPER(LEFT(J12,FIND("@",J12)-1)) used to extract the name from email id</t>
        </r>
      </text>
    </comment>
    <comment ref="H19" authorId="0" shapeId="0" xr:uid="{ABC07CA8-0FA7-48AE-BF5A-91ED7363B118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MEDIAN(H8:H17,H20:H57) used to fill the median value in the missing age column</t>
        </r>
      </text>
    </comment>
    <comment ref="M19" authorId="0" shapeId="0" xr:uid="{A84F0C26-D00D-4158-9DF8-271FCC20AFB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IF(NOT(ISBLANK([@Name])),"support@dataisgood.com","not") used to provide support@dataisgood.com as there was not email id</t>
        </r>
      </text>
    </comment>
    <comment ref="F21" authorId="0" shapeId="0" xr:uid="{5CB148D5-9E49-4862-BF61-62364E1F52C5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PROPER(LEFT(K22,FIND("@",K22)-1)) used to extract the name from email id</t>
        </r>
      </text>
    </comment>
    <comment ref="P23" authorId="0" shapeId="0" xr:uid="{9DF12D9C-9B78-426C-B622-2CF8A8AD2475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IF(ISBLANK([@Column1]),"No address available","")</t>
        </r>
      </text>
    </comment>
    <comment ref="F26" authorId="0" shapeId="0" xr:uid="{77A8E27A-5ADB-4931-8EFC-16A969580A4B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PROPER(LEFT(K27,FIND("@",K27)-1)) used to extract the name from email id</t>
        </r>
      </text>
    </comment>
    <comment ref="P26" authorId="0" shapeId="0" xr:uid="{AD711AAD-A49B-4DDD-A25B-B35D5208ACB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IF(ISBLANK([@Column1]),"No address available","")</t>
        </r>
      </text>
    </comment>
    <comment ref="P29" authorId="0" shapeId="0" xr:uid="{4493E2FB-BF6F-4A20-92A9-9DD9A27958B7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IF(ISBLANK([@Column1]),"No address available","")</t>
        </r>
      </text>
    </comment>
    <comment ref="H30" authorId="0" shapeId="0" xr:uid="{E3CEF092-2CD1-40CA-9C78-5DD7351D9C55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MEDIAN(H8:H17,H33:H57) used to fill missing age column</t>
        </r>
      </text>
    </comment>
    <comment ref="F35" authorId="0" shapeId="0" xr:uid="{89348510-2238-4C95-AD44-F69ADD75F75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PROPER(LEFT(K37,FIND("@",K37)-1)) used to extract the name from email id</t>
        </r>
      </text>
    </comment>
    <comment ref="F38" authorId="0" shapeId="0" xr:uid="{54FB84F5-4F97-4283-AA7F-A64358CE5BBA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PROPER(LEFT(K40,FIND("@",K40)-1)) used to extract the name from email id</t>
        </r>
      </text>
    </comment>
    <comment ref="F42" authorId="0" shapeId="0" xr:uid="{DF310FB6-D29F-4D98-895E-6C6753F4C661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PROPER(LEFT(K44,FIND("@",K44)-1)) used to extract the name from email id</t>
        </r>
      </text>
    </comment>
    <comment ref="F49" authorId="0" shapeId="0" xr:uid="{4E649D3E-3620-491E-9809-B68E8C282D61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PROPER(LEFT(K51,FIND("@",K51)-1)) used to extract the name form email id</t>
        </r>
      </text>
    </comment>
    <comment ref="H50" authorId="0" shapeId="0" xr:uid="{48EE032B-1307-4BCF-BE0E-0F5CF334BD44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MEDIAN(H8:H51,H53:H57) used to fille the missing age 
</t>
        </r>
      </text>
    </comment>
    <comment ref="F52" authorId="0" shapeId="0" xr:uid="{55B5014E-C49B-4155-A336-97D26003013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PROPER(LEFT(K54,FIND("@",K54)-1)) used to extract the name form email id</t>
        </r>
      </text>
    </comment>
    <comment ref="H54" authorId="0" shapeId="0" xr:uid="{A97B0B11-8F08-4A79-998D-FAD2B6BA21B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MEDIAN(H8:H54,H55:H57) used to fill missing age column</t>
        </r>
      </text>
    </comment>
  </commentList>
</comments>
</file>

<file path=xl/sharedStrings.xml><?xml version="1.0" encoding="utf-8"?>
<sst xmlns="http://schemas.openxmlformats.org/spreadsheetml/2006/main" count="309" uniqueCount="169">
  <si>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</si>
  <si>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</si>
  <si>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</si>
  <si>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</si>
  <si>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</si>
  <si>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</si>
  <si>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</si>
  <si>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</si>
  <si>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</si>
  <si>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</si>
  <si>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</si>
  <si>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</si>
  <si>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</si>
  <si>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</si>
  <si>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</si>
  <si>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</si>
  <si>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</si>
  <si>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</si>
  <si>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</si>
  <si>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</si>
  <si>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</si>
  <si>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</si>
  <si>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</si>
  <si>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</si>
  <si>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</si>
  <si>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</si>
  <si>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</si>
  <si>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</si>
  <si>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</si>
  <si>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</si>
  <si>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</si>
  <si>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</si>
  <si>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</si>
  <si>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</si>
  <si>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</si>
  <si>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</si>
  <si>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</si>
  <si>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</si>
  <si>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</si>
  <si>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</si>
  <si>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</si>
  <si>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</si>
  <si>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</si>
  <si>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</si>
  <si>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</si>
  <si>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</si>
  <si>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</si>
  <si>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</si>
  <si>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</si>
  <si>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</si>
  <si>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</si>
  <si>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</si>
  <si>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</si>
  <si>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</si>
  <si>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</si>
  <si>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</si>
  <si>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</si>
  <si>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</si>
  <si>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</si>
  <si>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</si>
  <si>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 Kumar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</si>
  <si>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</si>
  <si>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</si>
  <si>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</si>
  <si>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</si>
  <si>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</si>
  <si>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</si>
  <si>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</si>
  <si>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</si>
  <si>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</si>
  <si>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</si>
  <si>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</si>
  <si>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</si>
  <si>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</si>
  <si>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</si>
  <si>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</si>
  <si>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</si>
  <si>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</si>
  <si>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</si>
  <si>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</si>
  <si>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</si>
  <si>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</si>
  <si>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</si>
  <si>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</si>
  <si>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</si>
  <si>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</si>
  <si>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</si>
  <si>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</si>
  <si>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</si>
  <si>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</si>
  <si>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</si>
  <si>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</si>
  <si>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</si>
  <si>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</si>
  <si>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</si>
  <si>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</si>
  <si>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</si>
  <si>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</si>
  <si>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</si>
  <si>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</si>
  <si>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</si>
  <si>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</si>
  <si>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</si>
  <si>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</si>
  <si>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</si>
  <si>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</si>
  <si>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</si>
  <si>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</si>
  <si>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</si>
  <si>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</si>
  <si>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</si>
  <si>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</si>
  <si>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</si>
  <si>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</si>
  <si>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</si>
  <si>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</si>
  <si>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</si>
  <si>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</si>
  <si>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</si>
  <si>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</si>
  <si>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</si>
  <si>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</si>
  <si>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</si>
  <si>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</si>
  <si>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</si>
  <si>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</si>
  <si>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</si>
  <si>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</si>
  <si>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</si>
  <si>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</si>
  <si>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</si>
  <si>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</si>
  <si>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</si>
  <si>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</si>
  <si>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</si>
  <si>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</si>
  <si>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</si>
  <si>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</si>
  <si>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</si>
  <si>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</si>
  <si>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</si>
  <si>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</si>
  <si>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</si>
  <si>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</si>
  <si>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</si>
  <si>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</si>
  <si>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91-6666666666</t>
  </si>
  <si>
    <t>Column1</t>
  </si>
  <si>
    <t>New Name column</t>
  </si>
  <si>
    <t>Gaurav.Kumar</t>
  </si>
  <si>
    <t>Mukesh.Sharma</t>
  </si>
  <si>
    <t>Payal.Sharma</t>
  </si>
  <si>
    <t>Sarika.Patel</t>
  </si>
  <si>
    <t>Ankit.Singh</t>
  </si>
  <si>
    <t>Vikas.Joshi</t>
  </si>
  <si>
    <t>Kavita.Sharma</t>
  </si>
  <si>
    <t>Jane.Doe</t>
  </si>
  <si>
    <t>Naveen.Sharma</t>
  </si>
  <si>
    <t>New Age column</t>
  </si>
  <si>
    <t>New Department Column</t>
  </si>
  <si>
    <t>IT DEVLOPEMENT</t>
  </si>
  <si>
    <t>Operation</t>
  </si>
  <si>
    <t>It Devlopement</t>
  </si>
  <si>
    <t>New email</t>
  </si>
  <si>
    <t>support@dataisgood.com</t>
  </si>
  <si>
    <t>91-8888888888</t>
  </si>
  <si>
    <t>91-7777777777</t>
  </si>
  <si>
    <t>Highest Salary</t>
  </si>
  <si>
    <t>Highest paid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</si>
</sst>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\9\1\-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165" fontId="1" fillId="2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Font="1"/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strike val="0"/>
        <outline val="0"/>
        <shadow val="0"/>
        <u val="none"/>
        <vertAlign val="baseline"/>
        <sz val="11"/>
        <color theme="1"/>
      </font>
      <numFmt numFmtId="165" formatCode="\9\1\-000000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114300</xdr:rowOff>
    </xdr:from>
    <xdr:to>
      <xdr:col>12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T55" totalsRowShown="0" headerRowDxfId="12" dataDxfId="11">
  <tableColumns count="16">
    <tableColumn id="1" xr3:uid="{0F186AC9-7116-4750-8350-32E39657BDEF}" name="Id" dataDxfId="10"/>
    <tableColumn id="2" xr3:uid="{587ADADF-3A31-4671-AAB2-636A2204C2A1}" name="Name" dataDxfId="9"/>
    <tableColumn id="10" xr3:uid="{45DFA7EB-A1FD-489B-9DAF-3B82287FE52A}" name="New Name column"/>
    <tableColumn id="3" xr3:uid="{D20B21E4-141B-4F80-B509-FFFDBDDDD7F4}" name="Age" dataDxfId="8"/>
    <tableColumn id="12" xr3:uid="{999130E8-3A69-4A9A-AB7B-45F6E91E7F9F}" name="New Age column"/>
    <tableColumn id="4" xr3:uid="{988050FD-7A13-4567-B7F1-B83DFF6C50D6}" name="Gender" dataDxfId="7"/>
    <tableColumn id="5" xr3:uid="{71DD8E56-AB70-41BA-BE06-62EA46C80DEC}" name="Department" dataDxfId="6"/>
    <tableColumn id="13" xr3:uid="{4EBBEC3A-5473-4B08-A5AA-21E65F652AB6}" name="New Department Column"/>
    <tableColumn id="6" xr3:uid="{C20650CA-3DDE-4C63-83CA-462380F46BB4}" name="Email" dataDxfId="5"/>
    <tableColumn id="14" xr3:uid="{D73426DB-964A-439D-AEC5-D45AD569FB42}" name="New email"/>
    <tableColumn id="7" xr3:uid="{9F3F4B7E-0B29-4F47-944B-C89BC5596DA2}" name="Phone" dataDxfId="2"/>
    <tableColumn id="8" xr3:uid="{9894F713-829B-4BE3-B5D2-22F23DA72823}" name="Address" dataDxfId="3"/>
    <tableColumn id="16" xr3:uid="{7ECDDC90-2747-445A-ACFB-1A8FFE0113B2}" name="Column1"/>
    <tableColumn id="9" xr3:uid="{69CDA7D3-FED4-49AB-9173-918B9E817F84}" name="Salary" dataDxfId="4"/>
    <tableColumn id="17" xr3:uid="{CB5F6642-4FC3-45ED-A482-5DD662288F87}" name="Highest Salary" dataDxfId="1"/>
    <tableColumn id="18" xr3:uid="{0567D24C-C55E-4C13-A59F-3E45BF07B5C5}" name="Highest paid employees" dataDxfId="0">
      <calculatedColumnFormula>INDEX(Table1[Name],MATCH(Table1[[#This Row],[Highest Salary]],Table1[Salary],0))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T55"/>
  <sheetViews>
    <sheetView tabSelected="1" topLeftCell="F1" workbookViewId="0">
      <selection activeCell="F14" sqref="F14"/>
    </sheetView>
  </sheetViews>
  <sheetFormatPr defaultRowHeight="14.4" x14ac:dyDescent="0.3"/>
  <cols>
    <col min="5" max="5" width="15.5546875" customWidth="1"/>
    <col min="6" max="7" width="15.88671875" customWidth="1"/>
    <col min="8" max="8" width="13.44140625" customWidth="1"/>
    <col min="9" max="10" width="11.88671875" customWidth="1"/>
    <col min="11" max="11" width="15.109375" customWidth="1"/>
    <col min="12" max="12" width="18.6640625" customWidth="1"/>
    <col min="13" max="13" width="21.88671875" customWidth="1"/>
    <col min="14" max="14" width="14.21875" customWidth="1"/>
    <col min="15" max="15" width="18.109375" style="3" customWidth="1"/>
    <col min="16" max="16" width="24.44140625" customWidth="1"/>
    <col min="17" max="17" width="9" hidden="1" customWidth="1"/>
    <col min="20" max="20" width="19.6640625" customWidth="1"/>
  </cols>
  <sheetData>
    <row r="7" spans="5:20" x14ac:dyDescent="0.3">
      <c r="E7" s="1" t="s">
        <v>1</v>
      </c>
      <c r="F7" s="1" t="s">
        <v>0</v>
      </c>
      <c r="G7" s="1" t="s">
        <v>148</v>
      </c>
      <c r="H7" s="1" t="s">
        <v>2</v>
      </c>
      <c r="I7" s="1" t="s">
        <v>158</v>
      </c>
      <c r="J7" s="1" t="s">
        <v>3</v>
      </c>
      <c r="K7" s="1" t="s">
        <v>138</v>
      </c>
      <c r="L7" s="1" t="s">
        <v>159</v>
      </c>
      <c r="M7" s="1" t="s">
        <v>4</v>
      </c>
      <c r="N7" s="1" t="s">
        <v>163</v>
      </c>
      <c r="O7" s="2" t="s">
        <v>5</v>
      </c>
      <c r="P7" s="1" t="s">
        <v>6</v>
      </c>
      <c r="Q7" s="1" t="s">
        <v>147</v>
      </c>
      <c r="R7" s="1" t="s">
        <v>132</v>
      </c>
      <c r="S7" s="1" t="s">
        <v>167</v>
      </c>
      <c r="T7" s="1" t="s">
        <v>168</v>
      </c>
    </row>
    <row r="8" spans="5:20" x14ac:dyDescent="0.3">
      <c r="E8">
        <v>1</v>
      </c>
      <c r="F8" t="s">
        <v>33</v>
      </c>
      <c r="H8">
        <v>32</v>
      </c>
      <c r="J8" t="s">
        <v>8</v>
      </c>
      <c r="K8" t="s">
        <v>140</v>
      </c>
      <c r="L8" t="s">
        <v>140</v>
      </c>
      <c r="M8" t="s">
        <v>34</v>
      </c>
      <c r="O8" s="3" t="s">
        <v>133</v>
      </c>
      <c r="P8" t="s">
        <v>35</v>
      </c>
      <c r="R8">
        <v>4553</v>
      </c>
      <c r="S8" s="4">
        <f>LARGE(Table1[Salary],1)</f>
        <v>49938</v>
      </c>
      <c r="T8" s="4" t="str">
        <f>INDEX(Table1[Name],MATCH(Table1[[#This Row],[Highest Salary]],Table1[Salary],0))</f>
        <v>Neha Gupta</v>
      </c>
    </row>
    <row r="9" spans="5:20" x14ac:dyDescent="0.3">
      <c r="E9">
        <v>2</v>
      </c>
      <c r="F9" t="s">
        <v>36</v>
      </c>
      <c r="H9">
        <v>28</v>
      </c>
      <c r="J9" t="s">
        <v>12</v>
      </c>
      <c r="K9" t="s">
        <v>141</v>
      </c>
      <c r="L9" t="s">
        <v>141</v>
      </c>
      <c r="M9" t="s">
        <v>37</v>
      </c>
      <c r="O9" s="3" t="s">
        <v>134</v>
      </c>
      <c r="P9" t="s">
        <v>38</v>
      </c>
      <c r="R9">
        <v>31169</v>
      </c>
      <c r="S9" s="4">
        <f>LARGE(Table1[Salary],2)</f>
        <v>49681</v>
      </c>
      <c r="T9" s="4" t="str">
        <f>INDEX(Table1[Name],MATCH(Table1[[#This Row],[Highest Salary]],Table1[Salary],0))</f>
        <v>Manoj Kumar</v>
      </c>
    </row>
    <row r="10" spans="5:20" x14ac:dyDescent="0.3">
      <c r="E10">
        <v>3</v>
      </c>
      <c r="F10" t="s">
        <v>39</v>
      </c>
      <c r="H10">
        <v>27</v>
      </c>
      <c r="J10" t="s">
        <v>8</v>
      </c>
      <c r="K10" t="s">
        <v>160</v>
      </c>
      <c r="L10" t="str">
        <f>UPPER(Table1[[#This Row],[Department]])</f>
        <v>IT DEVLOPEMENT</v>
      </c>
      <c r="M10" t="s">
        <v>40</v>
      </c>
      <c r="O10" s="3" t="s">
        <v>135</v>
      </c>
      <c r="P10" t="s">
        <v>41</v>
      </c>
      <c r="R10">
        <v>11116</v>
      </c>
      <c r="S10" s="4">
        <f>LARGE(Table1[Salary],3)</f>
        <v>49400</v>
      </c>
      <c r="T10" s="4" t="str">
        <f>INDEX(Table1[Name],MATCH(Table1[[#This Row],[Highest Salary]],Table1[Salary],0))</f>
        <v>Kavita.Sharma</v>
      </c>
    </row>
    <row r="11" spans="5:20" x14ac:dyDescent="0.3">
      <c r="E11">
        <v>4</v>
      </c>
      <c r="F11" t="s">
        <v>42</v>
      </c>
      <c r="H11">
        <v>33</v>
      </c>
      <c r="J11" t="s">
        <v>12</v>
      </c>
      <c r="K11" t="s">
        <v>139</v>
      </c>
      <c r="L11" t="s">
        <v>139</v>
      </c>
      <c r="M11" t="s">
        <v>43</v>
      </c>
      <c r="O11" s="3" t="s">
        <v>136</v>
      </c>
      <c r="P11" t="s">
        <v>44</v>
      </c>
      <c r="R11">
        <v>33457</v>
      </c>
      <c r="S11" s="4">
        <f>LARGE(Table1[Salary],4)</f>
        <v>48367</v>
      </c>
      <c r="T11" s="4" t="str">
        <f>INDEX(Table1[Name],MATCH(Table1[[#This Row],[Highest Salary]],Table1[Salary],0))</f>
        <v>Payal.Sharma</v>
      </c>
    </row>
    <row r="12" spans="5:20" x14ac:dyDescent="0.3">
      <c r="E12">
        <v>5</v>
      </c>
      <c r="F12" t="s">
        <v>156</v>
      </c>
      <c r="G12" t="str">
        <f>PROPER(LEFT(M12,FIND("@",M12)-1))</f>
        <v>Jane.Doe</v>
      </c>
      <c r="H12">
        <v>29</v>
      </c>
      <c r="J12" t="s">
        <v>12</v>
      </c>
      <c r="K12" t="s">
        <v>139</v>
      </c>
      <c r="L12" t="str">
        <f>REPLACE(Table1[[#This Row],[Department]],2,0,"A")</f>
        <v>SAALES</v>
      </c>
      <c r="M12" t="s">
        <v>45</v>
      </c>
      <c r="P12" t="str">
        <f>IF(ISBLANK(Table1[[#This Row],[Column1]]),"No address available","")</f>
        <v>No address available</v>
      </c>
      <c r="R12">
        <v>21918</v>
      </c>
      <c r="S12" s="4">
        <f>LARGE(Table1[Salary],5)</f>
        <v>45828</v>
      </c>
      <c r="T12" s="4" t="str">
        <f>INDEX(Table1[Name],MATCH(Table1[[#This Row],[Highest Salary]],Table1[Salary],0))</f>
        <v>Divya Singh</v>
      </c>
    </row>
    <row r="13" spans="5:20" x14ac:dyDescent="0.3">
      <c r="E13">
        <v>6</v>
      </c>
      <c r="F13" t="s">
        <v>46</v>
      </c>
      <c r="H13">
        <v>34</v>
      </c>
      <c r="J13" t="s">
        <v>8</v>
      </c>
      <c r="K13" t="s">
        <v>145</v>
      </c>
      <c r="L13" t="str">
        <f>PROPER(Table1[[#This Row],[Department]])</f>
        <v>Data Science</v>
      </c>
      <c r="M13" t="s">
        <v>47</v>
      </c>
      <c r="P13" t="s">
        <v>48</v>
      </c>
      <c r="R13">
        <v>33418</v>
      </c>
      <c r="S13" s="4"/>
      <c r="T13" s="4"/>
    </row>
    <row r="14" spans="5:20" x14ac:dyDescent="0.3">
      <c r="E14">
        <v>7</v>
      </c>
      <c r="F14" t="s">
        <v>49</v>
      </c>
      <c r="H14">
        <v>25</v>
      </c>
      <c r="J14" t="s">
        <v>12</v>
      </c>
      <c r="K14" t="s">
        <v>162</v>
      </c>
      <c r="L14" t="str">
        <f>PROPER(Table1[[#This Row],[Department]])</f>
        <v>It Devlopement</v>
      </c>
      <c r="M14" t="s">
        <v>164</v>
      </c>
      <c r="N14" t="str">
        <f>IF(NOT(ISBLANK(Table1[[#This Row],[Name]])),"support@dataisgood.com","not")</f>
        <v>support@dataisgood.com</v>
      </c>
      <c r="O14" s="3" t="s">
        <v>137</v>
      </c>
      <c r="P14" t="s">
        <v>50</v>
      </c>
      <c r="R14">
        <v>45828</v>
      </c>
      <c r="S14" s="4"/>
      <c r="T14" s="4"/>
    </row>
    <row r="15" spans="5:20" x14ac:dyDescent="0.3">
      <c r="E15">
        <v>8</v>
      </c>
      <c r="F15" t="s">
        <v>51</v>
      </c>
      <c r="H15">
        <v>31</v>
      </c>
      <c r="J15" t="s">
        <v>8</v>
      </c>
      <c r="K15" t="s">
        <v>139</v>
      </c>
      <c r="L15" t="s">
        <v>139</v>
      </c>
      <c r="M15" t="s">
        <v>52</v>
      </c>
      <c r="O15" s="3" t="s">
        <v>165</v>
      </c>
      <c r="P15" t="str">
        <f>IF(ISBLANK(Table1[[#This Row],[Column1]]),"No address available","")</f>
        <v>No address available</v>
      </c>
      <c r="R15">
        <v>45450</v>
      </c>
      <c r="S15" s="4"/>
      <c r="T15" s="4"/>
    </row>
    <row r="16" spans="5:20" x14ac:dyDescent="0.3">
      <c r="E16">
        <v>9</v>
      </c>
      <c r="F16" t="s">
        <v>53</v>
      </c>
      <c r="H16">
        <v>27</v>
      </c>
      <c r="J16" t="s">
        <v>12</v>
      </c>
      <c r="K16" t="s">
        <v>139</v>
      </c>
      <c r="L16" t="str">
        <f>REPLACE(Table1[[#This Row],[Department]],2,0,"A")</f>
        <v>SAALES</v>
      </c>
      <c r="M16" t="s">
        <v>54</v>
      </c>
      <c r="O16" s="3" t="s">
        <v>166</v>
      </c>
      <c r="P16" t="s">
        <v>55</v>
      </c>
      <c r="R16">
        <v>49938</v>
      </c>
      <c r="S16" s="4"/>
      <c r="T16" s="4"/>
    </row>
    <row r="17" spans="5:20" x14ac:dyDescent="0.3">
      <c r="E17">
        <v>10</v>
      </c>
      <c r="F17" t="s">
        <v>157</v>
      </c>
      <c r="G17" t="str">
        <f>PROPER(LEFT(M17,FIND("@",M17)-1))</f>
        <v>Naveen.Sharma</v>
      </c>
      <c r="H17">
        <v>35</v>
      </c>
      <c r="J17" t="s">
        <v>8</v>
      </c>
      <c r="K17" t="s">
        <v>140</v>
      </c>
      <c r="L17" t="s">
        <v>140</v>
      </c>
      <c r="M17" t="s">
        <v>56</v>
      </c>
      <c r="P17" t="s">
        <v>57</v>
      </c>
      <c r="R17">
        <v>9818</v>
      </c>
      <c r="S17" s="4"/>
      <c r="T17" s="4"/>
    </row>
    <row r="18" spans="5:20" x14ac:dyDescent="0.3">
      <c r="E18">
        <v>11</v>
      </c>
      <c r="F18" t="s">
        <v>156</v>
      </c>
      <c r="H18">
        <v>29</v>
      </c>
      <c r="J18" t="s">
        <v>12</v>
      </c>
      <c r="K18" t="s">
        <v>141</v>
      </c>
      <c r="L18" t="s">
        <v>141</v>
      </c>
      <c r="M18" t="s">
        <v>58</v>
      </c>
      <c r="O18" s="3" t="s">
        <v>146</v>
      </c>
      <c r="P18" t="s">
        <v>59</v>
      </c>
      <c r="R18">
        <v>41836</v>
      </c>
      <c r="S18" s="4"/>
      <c r="T18" s="4"/>
    </row>
    <row r="19" spans="5:20" x14ac:dyDescent="0.3">
      <c r="E19">
        <v>12</v>
      </c>
      <c r="F19" t="s">
        <v>60</v>
      </c>
      <c r="H19">
        <v>29</v>
      </c>
      <c r="I19">
        <f>MEDIAN(H8:H17,H20:H55)</f>
        <v>29</v>
      </c>
      <c r="J19" t="s">
        <v>8</v>
      </c>
      <c r="K19" t="s">
        <v>141</v>
      </c>
      <c r="L19" t="s">
        <v>141</v>
      </c>
      <c r="M19" t="s">
        <v>164</v>
      </c>
      <c r="O19" s="3" t="s">
        <v>136</v>
      </c>
      <c r="P19" t="s">
        <v>61</v>
      </c>
      <c r="R19">
        <v>11901</v>
      </c>
      <c r="S19" s="4"/>
      <c r="T19" s="4"/>
    </row>
    <row r="20" spans="5:20" x14ac:dyDescent="0.3">
      <c r="E20">
        <v>14</v>
      </c>
      <c r="F20" t="s">
        <v>62</v>
      </c>
      <c r="H20">
        <v>28</v>
      </c>
      <c r="J20" t="s">
        <v>12</v>
      </c>
      <c r="K20" t="s">
        <v>142</v>
      </c>
      <c r="L20" t="s">
        <v>142</v>
      </c>
      <c r="M20" t="s">
        <v>63</v>
      </c>
      <c r="P20" t="s">
        <v>64</v>
      </c>
      <c r="R20">
        <v>21978</v>
      </c>
      <c r="S20" s="4"/>
      <c r="T20" s="4"/>
    </row>
    <row r="21" spans="5:20" x14ac:dyDescent="0.3">
      <c r="E21">
        <v>15</v>
      </c>
      <c r="F21" t="s">
        <v>155</v>
      </c>
      <c r="G21" t="str">
        <f>PROPER(LEFT(M21,FIND("@",M21)-1))</f>
        <v>Kavita.Sharma</v>
      </c>
      <c r="H21">
        <v>30</v>
      </c>
      <c r="J21" t="s">
        <v>12</v>
      </c>
      <c r="K21" t="s">
        <v>143</v>
      </c>
      <c r="L21" t="s">
        <v>143</v>
      </c>
      <c r="M21" t="s">
        <v>65</v>
      </c>
      <c r="O21" s="3" t="s">
        <v>165</v>
      </c>
      <c r="P21" t="str">
        <f>IF(ISBLANK(Table1[[#This Row],[Column1]]),"No address available","")</f>
        <v>No address available</v>
      </c>
      <c r="R21">
        <v>49400</v>
      </c>
      <c r="S21" s="4"/>
      <c r="T21" s="4"/>
    </row>
    <row r="22" spans="5:20" x14ac:dyDescent="0.3">
      <c r="E22">
        <v>16</v>
      </c>
      <c r="F22" t="s">
        <v>66</v>
      </c>
      <c r="H22">
        <v>32</v>
      </c>
      <c r="J22" t="s">
        <v>8</v>
      </c>
      <c r="K22" t="s">
        <v>144</v>
      </c>
      <c r="L22" t="s">
        <v>144</v>
      </c>
      <c r="M22" t="s">
        <v>67</v>
      </c>
      <c r="O22" s="3" t="s">
        <v>133</v>
      </c>
      <c r="P22" t="s">
        <v>68</v>
      </c>
      <c r="R22">
        <v>28476</v>
      </c>
      <c r="S22" s="4"/>
      <c r="T22" s="4"/>
    </row>
    <row r="23" spans="5:20" x14ac:dyDescent="0.3">
      <c r="E23">
        <v>17</v>
      </c>
      <c r="F23" t="s">
        <v>69</v>
      </c>
      <c r="H23">
        <v>26</v>
      </c>
      <c r="J23" t="s">
        <v>12</v>
      </c>
      <c r="K23" t="s">
        <v>145</v>
      </c>
      <c r="L23" t="s">
        <v>145</v>
      </c>
      <c r="M23" t="s">
        <v>70</v>
      </c>
      <c r="O23" s="3" t="s">
        <v>135</v>
      </c>
      <c r="P23" t="str">
        <f>IF(ISBLANK(Table1[[#This Row],[Column1]]),"No address available","")</f>
        <v>No address available</v>
      </c>
      <c r="R23">
        <v>40088</v>
      </c>
      <c r="S23" s="4"/>
      <c r="T23" s="4"/>
    </row>
    <row r="24" spans="5:20" x14ac:dyDescent="0.3">
      <c r="E24">
        <v>18</v>
      </c>
      <c r="F24" t="s">
        <v>7</v>
      </c>
      <c r="H24">
        <v>28</v>
      </c>
      <c r="J24" t="s">
        <v>8</v>
      </c>
      <c r="K24" t="s">
        <v>145</v>
      </c>
      <c r="L24" t="str">
        <f>PROPER(Table1[[#This Row],[Department]])</f>
        <v>Data Science</v>
      </c>
      <c r="M24" t="s">
        <v>9</v>
      </c>
      <c r="O24" s="3" t="s">
        <v>134</v>
      </c>
      <c r="P24" t="s">
        <v>10</v>
      </c>
      <c r="R24">
        <v>2949</v>
      </c>
      <c r="S24" s="4"/>
      <c r="T24" s="4"/>
    </row>
    <row r="25" spans="5:20" x14ac:dyDescent="0.3">
      <c r="E25">
        <v>19</v>
      </c>
      <c r="F25" t="s">
        <v>11</v>
      </c>
      <c r="H25">
        <v>30</v>
      </c>
      <c r="J25" t="s">
        <v>12</v>
      </c>
      <c r="K25" t="s">
        <v>145</v>
      </c>
      <c r="L25" t="str">
        <f>PROPER(Table1[[#This Row],[Department]])</f>
        <v>Data Science</v>
      </c>
      <c r="M25" t="s">
        <v>13</v>
      </c>
      <c r="O25" s="3" t="s">
        <v>136</v>
      </c>
      <c r="P25" t="s">
        <v>14</v>
      </c>
      <c r="R25">
        <v>3337</v>
      </c>
      <c r="S25" s="4"/>
      <c r="T25" s="4"/>
    </row>
    <row r="26" spans="5:20" x14ac:dyDescent="0.3">
      <c r="E26">
        <v>20</v>
      </c>
      <c r="F26" t="s">
        <v>154</v>
      </c>
      <c r="G26" t="str">
        <f>PROPER(LEFT(M26,FIND("@",M26)-1))</f>
        <v>Vikas.Joshi</v>
      </c>
      <c r="H26">
        <v>32</v>
      </c>
      <c r="J26" t="s">
        <v>8</v>
      </c>
      <c r="K26" t="s">
        <v>143</v>
      </c>
      <c r="L26" t="s">
        <v>143</v>
      </c>
      <c r="M26" t="s">
        <v>15</v>
      </c>
      <c r="O26" s="3" t="s">
        <v>137</v>
      </c>
      <c r="P26" t="str">
        <f>IF(ISBLANK(Table1[[#This Row],[Column1]]),"No address available","")</f>
        <v>No address available</v>
      </c>
      <c r="R26">
        <v>2857</v>
      </c>
      <c r="S26" s="4"/>
      <c r="T26" s="4"/>
    </row>
    <row r="27" spans="5:20" x14ac:dyDescent="0.3">
      <c r="E27">
        <v>21</v>
      </c>
      <c r="F27" t="s">
        <v>16</v>
      </c>
      <c r="H27">
        <v>26</v>
      </c>
      <c r="J27" t="s">
        <v>12</v>
      </c>
      <c r="K27" t="s">
        <v>144</v>
      </c>
      <c r="L27" t="s">
        <v>144</v>
      </c>
      <c r="M27" t="s">
        <v>17</v>
      </c>
      <c r="P27" t="s">
        <v>18</v>
      </c>
      <c r="R27">
        <v>35969</v>
      </c>
      <c r="S27" s="4"/>
      <c r="T27" s="4"/>
    </row>
    <row r="28" spans="5:20" x14ac:dyDescent="0.3">
      <c r="E28">
        <v>22</v>
      </c>
      <c r="F28" t="s">
        <v>19</v>
      </c>
      <c r="H28">
        <v>33</v>
      </c>
      <c r="J28" t="s">
        <v>8</v>
      </c>
      <c r="K28" t="s">
        <v>145</v>
      </c>
      <c r="L28" t="s">
        <v>145</v>
      </c>
      <c r="M28" t="s">
        <v>20</v>
      </c>
      <c r="O28" s="3" t="s">
        <v>165</v>
      </c>
      <c r="P28" t="s">
        <v>21</v>
      </c>
      <c r="R28">
        <v>49681</v>
      </c>
      <c r="S28" s="4"/>
      <c r="T28" s="4"/>
    </row>
    <row r="29" spans="5:20" x14ac:dyDescent="0.3">
      <c r="E29">
        <v>24</v>
      </c>
      <c r="F29" t="s">
        <v>22</v>
      </c>
      <c r="H29">
        <v>29</v>
      </c>
      <c r="J29" t="s">
        <v>8</v>
      </c>
      <c r="K29" t="s">
        <v>140</v>
      </c>
      <c r="L29" t="s">
        <v>140</v>
      </c>
      <c r="M29" t="s">
        <v>23</v>
      </c>
      <c r="O29" s="3" t="s">
        <v>146</v>
      </c>
      <c r="P29" t="str">
        <f>IF(ISBLANK(Table1[[#This Row],[Column1]]),"No address available","")</f>
        <v>No address available</v>
      </c>
      <c r="R29">
        <v>15853</v>
      </c>
      <c r="S29" s="4"/>
      <c r="T29" s="4"/>
    </row>
    <row r="30" spans="5:20" x14ac:dyDescent="0.3">
      <c r="E30">
        <v>25</v>
      </c>
      <c r="F30" t="s">
        <v>24</v>
      </c>
      <c r="H30">
        <v>29</v>
      </c>
      <c r="I30">
        <f>MEDIAN(H8:H17,H31:H55)</f>
        <v>29</v>
      </c>
      <c r="J30" t="s">
        <v>12</v>
      </c>
      <c r="K30" t="s">
        <v>141</v>
      </c>
      <c r="L30" t="s">
        <v>141</v>
      </c>
      <c r="M30" t="s">
        <v>25</v>
      </c>
      <c r="O30" s="3" t="s">
        <v>136</v>
      </c>
      <c r="P30" t="s">
        <v>26</v>
      </c>
      <c r="R30">
        <v>6926</v>
      </c>
      <c r="S30" s="4"/>
      <c r="T30" s="4"/>
    </row>
    <row r="31" spans="5:20" x14ac:dyDescent="0.3">
      <c r="E31">
        <v>26</v>
      </c>
      <c r="F31" t="s">
        <v>27</v>
      </c>
      <c r="H31">
        <v>31</v>
      </c>
      <c r="J31" t="s">
        <v>8</v>
      </c>
      <c r="K31" t="s">
        <v>143</v>
      </c>
      <c r="L31" t="s">
        <v>143</v>
      </c>
      <c r="M31" t="s">
        <v>28</v>
      </c>
      <c r="P31" t="s">
        <v>29</v>
      </c>
      <c r="R31">
        <v>45678</v>
      </c>
      <c r="S31" s="4"/>
      <c r="T31" s="4"/>
    </row>
    <row r="32" spans="5:20" x14ac:dyDescent="0.3">
      <c r="E32">
        <v>27</v>
      </c>
      <c r="F32" t="s">
        <v>30</v>
      </c>
      <c r="H32">
        <v>28</v>
      </c>
      <c r="J32" t="s">
        <v>12</v>
      </c>
      <c r="K32" t="s">
        <v>144</v>
      </c>
      <c r="L32" t="s">
        <v>144</v>
      </c>
      <c r="M32" t="s">
        <v>31</v>
      </c>
      <c r="O32" s="3" t="s">
        <v>166</v>
      </c>
      <c r="P32" t="s">
        <v>32</v>
      </c>
      <c r="R32">
        <v>8022</v>
      </c>
      <c r="S32" s="4"/>
      <c r="T32" s="4"/>
    </row>
    <row r="33" spans="5:20" x14ac:dyDescent="0.3">
      <c r="E33">
        <v>28</v>
      </c>
      <c r="F33" t="s">
        <v>71</v>
      </c>
      <c r="H33">
        <v>34</v>
      </c>
      <c r="J33" t="s">
        <v>8</v>
      </c>
      <c r="K33" t="s">
        <v>145</v>
      </c>
      <c r="L33" t="s">
        <v>145</v>
      </c>
      <c r="M33" t="s">
        <v>72</v>
      </c>
      <c r="O33" s="3" t="s">
        <v>165</v>
      </c>
      <c r="P33" t="s">
        <v>73</v>
      </c>
      <c r="R33">
        <v>3484</v>
      </c>
      <c r="S33" s="4"/>
      <c r="T33" s="4"/>
    </row>
    <row r="34" spans="5:20" x14ac:dyDescent="0.3">
      <c r="E34">
        <v>29</v>
      </c>
      <c r="F34" t="s">
        <v>74</v>
      </c>
      <c r="H34">
        <v>26</v>
      </c>
      <c r="J34" t="s">
        <v>12</v>
      </c>
      <c r="K34" t="s">
        <v>162</v>
      </c>
      <c r="L34" t="str">
        <f>PROPER(Table1[[#This Row],[Department]])</f>
        <v>It Devlopement</v>
      </c>
      <c r="M34" t="s">
        <v>75</v>
      </c>
      <c r="O34" s="3" t="s">
        <v>166</v>
      </c>
      <c r="P34" t="s">
        <v>76</v>
      </c>
      <c r="R34">
        <v>11342</v>
      </c>
      <c r="S34" s="4"/>
      <c r="T34" s="4"/>
    </row>
    <row r="35" spans="5:20" x14ac:dyDescent="0.3">
      <c r="E35">
        <v>30</v>
      </c>
      <c r="F35" t="s">
        <v>153</v>
      </c>
      <c r="G35" t="str">
        <f>PROPER(LEFT(M35,FIND("@",M35)-1))</f>
        <v>Ankit.Singh</v>
      </c>
      <c r="H35">
        <v>29</v>
      </c>
      <c r="J35" t="s">
        <v>8</v>
      </c>
      <c r="K35" t="s">
        <v>139</v>
      </c>
      <c r="L35" t="s">
        <v>139</v>
      </c>
      <c r="M35" t="s">
        <v>77</v>
      </c>
      <c r="P35" t="s">
        <v>78</v>
      </c>
      <c r="R35">
        <v>40940</v>
      </c>
      <c r="S35" s="4"/>
      <c r="T35" s="4"/>
    </row>
    <row r="36" spans="5:20" x14ac:dyDescent="0.3">
      <c r="E36">
        <v>31</v>
      </c>
      <c r="F36" t="s">
        <v>53</v>
      </c>
      <c r="H36">
        <v>27</v>
      </c>
      <c r="J36" t="s">
        <v>12</v>
      </c>
      <c r="K36" t="s">
        <v>139</v>
      </c>
      <c r="L36" t="str">
        <f>REPLACE(Table1[[#This Row],[Department]],2,0,"A")</f>
        <v>SAALES</v>
      </c>
      <c r="M36" t="s">
        <v>79</v>
      </c>
      <c r="O36" s="3" t="s">
        <v>136</v>
      </c>
      <c r="P36" t="str">
        <f>IF(ISBLANK(Table1[[#This Row],[Column1]]),"No address available","")</f>
        <v>No address available</v>
      </c>
      <c r="R36">
        <v>41841</v>
      </c>
      <c r="S36" s="4"/>
      <c r="T36" s="4"/>
    </row>
    <row r="37" spans="5:20" x14ac:dyDescent="0.3">
      <c r="E37">
        <v>32</v>
      </c>
      <c r="F37" t="s">
        <v>80</v>
      </c>
      <c r="H37">
        <v>32</v>
      </c>
      <c r="J37" t="s">
        <v>8</v>
      </c>
      <c r="K37" t="s">
        <v>143</v>
      </c>
      <c r="L37" t="s">
        <v>143</v>
      </c>
      <c r="M37" t="s">
        <v>81</v>
      </c>
      <c r="P37" t="s">
        <v>82</v>
      </c>
      <c r="R37">
        <v>39835</v>
      </c>
      <c r="S37" s="4"/>
      <c r="T37" s="4"/>
    </row>
    <row r="38" spans="5:20" x14ac:dyDescent="0.3">
      <c r="E38">
        <v>33</v>
      </c>
      <c r="F38" t="s">
        <v>152</v>
      </c>
      <c r="G38" t="str">
        <f>PROPER(LEFT(M38,FIND("@",M38)-1))</f>
        <v>Sarika.Patel</v>
      </c>
      <c r="H38">
        <v>33</v>
      </c>
      <c r="J38" t="s">
        <v>12</v>
      </c>
      <c r="K38" t="s">
        <v>144</v>
      </c>
      <c r="L38" t="s">
        <v>144</v>
      </c>
      <c r="M38" t="s">
        <v>83</v>
      </c>
      <c r="O38" s="3" t="s">
        <v>146</v>
      </c>
      <c r="P38" t="s">
        <v>84</v>
      </c>
      <c r="R38">
        <v>9577</v>
      </c>
      <c r="S38" s="4"/>
      <c r="T38" s="4"/>
    </row>
    <row r="39" spans="5:20" x14ac:dyDescent="0.3">
      <c r="E39">
        <v>34</v>
      </c>
      <c r="F39" t="s">
        <v>85</v>
      </c>
      <c r="H39">
        <v>30</v>
      </c>
      <c r="J39" t="s">
        <v>8</v>
      </c>
      <c r="K39" t="s">
        <v>145</v>
      </c>
      <c r="L39" t="s">
        <v>145</v>
      </c>
      <c r="M39" t="s">
        <v>86</v>
      </c>
      <c r="P39" t="s">
        <v>87</v>
      </c>
      <c r="R39">
        <v>29480</v>
      </c>
      <c r="S39" s="4"/>
      <c r="T39" s="4"/>
    </row>
    <row r="40" spans="5:20" x14ac:dyDescent="0.3">
      <c r="E40">
        <v>35</v>
      </c>
      <c r="F40" t="s">
        <v>88</v>
      </c>
      <c r="H40">
        <v>29</v>
      </c>
      <c r="I40">
        <f>MEDIAN(H41:H53)</f>
        <v>29</v>
      </c>
      <c r="J40" t="s">
        <v>12</v>
      </c>
      <c r="K40" t="s">
        <v>162</v>
      </c>
      <c r="L40" t="str">
        <f>PROPER(Table1[[#This Row],[Department]])</f>
        <v>It Devlopement</v>
      </c>
      <c r="M40" t="s">
        <v>89</v>
      </c>
      <c r="O40" s="3" t="s">
        <v>136</v>
      </c>
      <c r="P40" t="s">
        <v>90</v>
      </c>
      <c r="R40">
        <v>14254</v>
      </c>
      <c r="S40" s="4"/>
      <c r="T40" s="4"/>
    </row>
    <row r="41" spans="5:20" x14ac:dyDescent="0.3">
      <c r="E41">
        <v>36</v>
      </c>
      <c r="F41" t="s">
        <v>91</v>
      </c>
      <c r="H41">
        <v>29</v>
      </c>
      <c r="J41" t="s">
        <v>8</v>
      </c>
      <c r="K41" t="s">
        <v>139</v>
      </c>
      <c r="L41" t="s">
        <v>139</v>
      </c>
      <c r="M41" t="s">
        <v>92</v>
      </c>
      <c r="O41" s="3" t="s">
        <v>166</v>
      </c>
      <c r="P41" t="s">
        <v>93</v>
      </c>
      <c r="R41">
        <v>37358</v>
      </c>
      <c r="S41" s="4"/>
      <c r="T41" s="4"/>
    </row>
    <row r="42" spans="5:20" x14ac:dyDescent="0.3">
      <c r="E42">
        <v>37</v>
      </c>
      <c r="F42" t="s">
        <v>151</v>
      </c>
      <c r="G42" t="str">
        <f>PROPER(LEFT(M42,FIND("@",M42)-1))</f>
        <v>Payal.Sharma</v>
      </c>
      <c r="H42">
        <v>31</v>
      </c>
      <c r="J42" t="s">
        <v>12</v>
      </c>
      <c r="K42" t="s">
        <v>139</v>
      </c>
      <c r="L42" t="str">
        <f>REPLACE(Table1[[#This Row],[Department]],2,0,"A")</f>
        <v>SAALES</v>
      </c>
      <c r="M42" t="s">
        <v>94</v>
      </c>
      <c r="P42" t="s">
        <v>95</v>
      </c>
      <c r="R42">
        <v>48367</v>
      </c>
      <c r="S42" s="4"/>
      <c r="T42" s="4"/>
    </row>
    <row r="43" spans="5:20" x14ac:dyDescent="0.3">
      <c r="E43">
        <v>38</v>
      </c>
      <c r="F43" t="s">
        <v>96</v>
      </c>
      <c r="H43">
        <v>28</v>
      </c>
      <c r="J43" t="s">
        <v>8</v>
      </c>
      <c r="K43" t="s">
        <v>142</v>
      </c>
      <c r="L43" t="str">
        <f>UPPER(Table1[[#This Row],[Department]])</f>
        <v>HR</v>
      </c>
      <c r="M43" t="s">
        <v>97</v>
      </c>
      <c r="O43" s="3" t="s">
        <v>165</v>
      </c>
      <c r="P43" t="s">
        <v>98</v>
      </c>
      <c r="R43">
        <v>37473</v>
      </c>
      <c r="S43" s="4"/>
      <c r="T43" s="4"/>
    </row>
    <row r="44" spans="5:20" x14ac:dyDescent="0.3">
      <c r="E44">
        <v>39</v>
      </c>
      <c r="F44" t="s">
        <v>99</v>
      </c>
      <c r="H44">
        <v>33</v>
      </c>
      <c r="J44" t="s">
        <v>12</v>
      </c>
      <c r="K44" t="s">
        <v>142</v>
      </c>
      <c r="L44" t="str">
        <f>UPPER(Table1[[#This Row],[Department]])</f>
        <v>HR</v>
      </c>
      <c r="M44" t="s">
        <v>100</v>
      </c>
      <c r="O44" s="3" t="s">
        <v>137</v>
      </c>
      <c r="P44" t="s">
        <v>101</v>
      </c>
      <c r="R44">
        <v>30628</v>
      </c>
      <c r="S44" s="4"/>
      <c r="T44" s="4"/>
    </row>
    <row r="45" spans="5:20" x14ac:dyDescent="0.3">
      <c r="E45">
        <v>40</v>
      </c>
      <c r="F45" t="s">
        <v>102</v>
      </c>
      <c r="H45">
        <v>30</v>
      </c>
      <c r="J45" t="s">
        <v>8</v>
      </c>
      <c r="K45" t="s">
        <v>161</v>
      </c>
      <c r="L45" t="str">
        <f>REPLACE(Table1[[#This Row],[Department]],6,5,"tion")</f>
        <v>Operation</v>
      </c>
      <c r="M45" t="s">
        <v>103</v>
      </c>
      <c r="P45" t="s">
        <v>104</v>
      </c>
      <c r="R45">
        <v>22018</v>
      </c>
      <c r="S45" s="4"/>
      <c r="T45" s="4"/>
    </row>
    <row r="46" spans="5:20" x14ac:dyDescent="0.3">
      <c r="E46">
        <v>41</v>
      </c>
      <c r="F46" t="s">
        <v>105</v>
      </c>
      <c r="H46">
        <v>27</v>
      </c>
      <c r="J46" t="s">
        <v>12</v>
      </c>
      <c r="K46" t="s">
        <v>145</v>
      </c>
      <c r="L46" t="str">
        <f>PROPER(Table1[[#This Row],[Department]])</f>
        <v>Data Science</v>
      </c>
      <c r="M46" t="s">
        <v>106</v>
      </c>
      <c r="O46" s="3" t="s">
        <v>166</v>
      </c>
      <c r="P46" t="s">
        <v>107</v>
      </c>
      <c r="R46">
        <v>35747</v>
      </c>
      <c r="S46" s="4"/>
      <c r="T46" s="4"/>
    </row>
    <row r="47" spans="5:20" x14ac:dyDescent="0.3">
      <c r="E47">
        <v>42</v>
      </c>
      <c r="F47" t="s">
        <v>108</v>
      </c>
      <c r="H47">
        <v>29</v>
      </c>
      <c r="J47" t="s">
        <v>8</v>
      </c>
      <c r="K47" t="s">
        <v>139</v>
      </c>
      <c r="L47" t="str">
        <f>REPLACE(Table1[[#This Row],[Department]],2,0,"A")</f>
        <v>SAALES</v>
      </c>
      <c r="M47" t="s">
        <v>109</v>
      </c>
      <c r="P47" t="s">
        <v>110</v>
      </c>
      <c r="R47">
        <v>32258</v>
      </c>
      <c r="S47" s="4"/>
      <c r="T47" s="4"/>
    </row>
    <row r="48" spans="5:20" x14ac:dyDescent="0.3">
      <c r="E48">
        <v>43</v>
      </c>
      <c r="F48" t="s">
        <v>111</v>
      </c>
      <c r="H48">
        <v>26</v>
      </c>
      <c r="J48" t="s">
        <v>12</v>
      </c>
      <c r="K48" t="s">
        <v>143</v>
      </c>
      <c r="L48" t="s">
        <v>143</v>
      </c>
      <c r="M48" t="s">
        <v>112</v>
      </c>
      <c r="O48" s="3" t="s">
        <v>136</v>
      </c>
      <c r="P48" t="s">
        <v>113</v>
      </c>
      <c r="R48">
        <v>31047</v>
      </c>
      <c r="S48" s="4"/>
      <c r="T48" s="4"/>
    </row>
    <row r="49" spans="5:20" x14ac:dyDescent="0.3">
      <c r="E49">
        <v>44</v>
      </c>
      <c r="F49" t="s">
        <v>150</v>
      </c>
      <c r="G49" t="str">
        <f>PROPER(LEFT(M49,FIND("@",M49)-1))</f>
        <v>Mukesh.Sharma</v>
      </c>
      <c r="H49">
        <v>28</v>
      </c>
      <c r="J49" t="s">
        <v>8</v>
      </c>
      <c r="K49" t="s">
        <v>144</v>
      </c>
      <c r="L49" t="s">
        <v>144</v>
      </c>
      <c r="M49" t="s">
        <v>114</v>
      </c>
      <c r="P49" t="s">
        <v>115</v>
      </c>
      <c r="R49">
        <v>31064</v>
      </c>
      <c r="S49" s="4"/>
      <c r="T49" s="4"/>
    </row>
    <row r="50" spans="5:20" x14ac:dyDescent="0.3">
      <c r="E50">
        <v>45</v>
      </c>
      <c r="F50" t="s">
        <v>116</v>
      </c>
      <c r="H50">
        <v>29</v>
      </c>
      <c r="J50" t="s">
        <v>8</v>
      </c>
      <c r="K50" t="s">
        <v>145</v>
      </c>
      <c r="L50" t="s">
        <v>145</v>
      </c>
      <c r="M50" t="s">
        <v>117</v>
      </c>
      <c r="O50" s="3" t="s">
        <v>165</v>
      </c>
      <c r="P50" t="str">
        <f>IF(ISBLANK(Table1[[#This Row],[Column1]]),"No address available","")</f>
        <v>No address available</v>
      </c>
      <c r="R50">
        <v>3108</v>
      </c>
      <c r="S50" s="4"/>
      <c r="T50" s="4"/>
    </row>
    <row r="51" spans="5:20" x14ac:dyDescent="0.3">
      <c r="E51">
        <v>46</v>
      </c>
      <c r="F51" t="s">
        <v>118</v>
      </c>
      <c r="H51">
        <v>27</v>
      </c>
      <c r="J51" t="s">
        <v>12</v>
      </c>
      <c r="K51" t="s">
        <v>142</v>
      </c>
      <c r="L51" t="str">
        <f>UPPER(Table1[[#This Row],[Department]])</f>
        <v>HR</v>
      </c>
      <c r="M51" t="s">
        <v>119</v>
      </c>
      <c r="O51" s="3" t="s">
        <v>166</v>
      </c>
      <c r="P51" t="s">
        <v>120</v>
      </c>
      <c r="R51">
        <v>20205</v>
      </c>
      <c r="S51" s="4"/>
      <c r="T51" s="4"/>
    </row>
    <row r="52" spans="5:20" x14ac:dyDescent="0.3">
      <c r="E52">
        <v>47</v>
      </c>
      <c r="F52" t="s">
        <v>149</v>
      </c>
      <c r="G52" t="str">
        <f>PROPER(LEFT(M52,FIND("@",M52)-1))</f>
        <v>Gaurav.Kumar</v>
      </c>
      <c r="H52">
        <v>29</v>
      </c>
      <c r="J52" t="s">
        <v>8</v>
      </c>
      <c r="K52" t="s">
        <v>142</v>
      </c>
      <c r="L52" t="str">
        <f>UPPER(Table1[[#This Row],[Department]])</f>
        <v>HR</v>
      </c>
      <c r="M52" t="s">
        <v>121</v>
      </c>
      <c r="P52" t="s">
        <v>122</v>
      </c>
      <c r="R52">
        <v>8746</v>
      </c>
      <c r="S52" s="4"/>
      <c r="T52" s="4"/>
    </row>
    <row r="53" spans="5:20" x14ac:dyDescent="0.3">
      <c r="E53">
        <v>48</v>
      </c>
      <c r="F53" t="s">
        <v>123</v>
      </c>
      <c r="H53">
        <v>32</v>
      </c>
      <c r="J53" t="s">
        <v>12</v>
      </c>
      <c r="K53" t="s">
        <v>162</v>
      </c>
      <c r="L53" t="str">
        <f>PROPER(Table1[[#This Row],[Department]])</f>
        <v>It Devlopement</v>
      </c>
      <c r="M53" t="s">
        <v>124</v>
      </c>
      <c r="O53" s="3" t="s">
        <v>146</v>
      </c>
      <c r="P53" t="s">
        <v>125</v>
      </c>
      <c r="R53">
        <v>15531</v>
      </c>
      <c r="S53" s="4"/>
      <c r="T53" s="4"/>
    </row>
    <row r="54" spans="5:20" x14ac:dyDescent="0.3">
      <c r="E54">
        <v>49</v>
      </c>
      <c r="F54" t="s">
        <v>126</v>
      </c>
      <c r="H54">
        <v>29</v>
      </c>
      <c r="I54">
        <f>MEDIAN(H8:H52,H53:H55)</f>
        <v>29</v>
      </c>
      <c r="J54" t="s">
        <v>8</v>
      </c>
      <c r="K54" t="s">
        <v>139</v>
      </c>
      <c r="L54" t="s">
        <v>139</v>
      </c>
      <c r="M54" t="s">
        <v>127</v>
      </c>
      <c r="O54" s="3" t="s">
        <v>136</v>
      </c>
      <c r="P54" t="s">
        <v>128</v>
      </c>
      <c r="R54">
        <v>23055</v>
      </c>
      <c r="S54" s="4"/>
      <c r="T54" s="4"/>
    </row>
    <row r="55" spans="5:20" x14ac:dyDescent="0.3">
      <c r="E55">
        <v>50</v>
      </c>
      <c r="F55" t="s">
        <v>129</v>
      </c>
      <c r="H55">
        <v>30</v>
      </c>
      <c r="J55" t="s">
        <v>12</v>
      </c>
      <c r="K55" t="s">
        <v>139</v>
      </c>
      <c r="L55" t="str">
        <f>REPLACE(Table1[[#This Row],[Department]],2,0,"A")</f>
        <v>SAALES</v>
      </c>
      <c r="M55" t="s">
        <v>130</v>
      </c>
      <c r="P55" t="s">
        <v>131</v>
      </c>
      <c r="R55">
        <v>18647</v>
      </c>
      <c r="S55" s="4"/>
      <c r="T55" s="4"/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2023-04-30T08:55:52Z</dcterms:modified>
</cp:coreProperties>
</file>